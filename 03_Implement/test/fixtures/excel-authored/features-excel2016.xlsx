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ata\AppData\Local\Temp\claude\D--GIT-markdown-matrix-injector\5bbcf131-3faf-42c8-b579-fb86356ec12f\scratchpad\excel-features\"/>
    </mc:Choice>
  </mc:AlternateContent>
  <xr:revisionPtr revIDLastSave="0" documentId="8_{18CD6F21-723C-452B-B35E-866DF3F40945}" xr6:coauthVersionLast="47" xr6:coauthVersionMax="47" xr10:uidLastSave="{00000000-0000-0000-0000-000000000000}"/>
  <bookViews>
    <workbookView xWindow="-108" yWindow="-108" windowWidth="23256" windowHeight="12456" activeTab="4" xr2:uid="{85CA03EA-28A5-44BC-8624-B2A8A911D95D}"/>
  </bookViews>
  <sheets>
    <sheet name="名前" sheetId="1" r:id="rId1"/>
    <sheet name="テーブル" sheetId="2" r:id="rId2"/>
    <sheet name="スピル" sheetId="3" r:id="rId3"/>
    <sheet name="モダン" sheetId="4" r:id="rId4"/>
    <sheet name="フィルター" sheetId="5" r:id="rId5"/>
    <sheet name="非表示シート" sheetId="6" state="veryHidden" r:id="rId6"/>
  </sheets>
  <definedNames>
    <definedName name="_xlnm._FilterDatabase" localSheetId="4" hidden="1">フィルター!$A$1:$B$5</definedName>
    <definedName name="ローカル範囲" localSheetId="0">名前!$A$2:$B$3</definedName>
    <definedName name="壊れた名前">非表示シート!#REF!</definedName>
    <definedName name="金額列">名前!$D:$D</definedName>
    <definedName name="見出し行">名前!$1:$1</definedName>
    <definedName name="受注一覧">名前!$A$1:$D$6</definedName>
    <definedName name="上限件数">500</definedName>
    <definedName name="税率">名前!$F$2</definedName>
    <definedName name="動的範囲">OFFSET(名前!$A$1,0,0,COUNTA(名前!$A:$A),4)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4" l="1"/>
  <c r="B4" i="4"/>
  <c r="H4" i="2"/>
  <c r="F5" i="2"/>
  <c r="F9" i="2" s="1"/>
  <c r="F6" i="2"/>
  <c r="F7" i="2"/>
  <c r="F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hat47x</author>
  </authors>
  <commentList>
    <comment ref="A2" authorId="0" shapeId="0" xr:uid="{6954E953-A9CE-4EE8-AE66-82798F19C1A2}">
      <text>
        <r>
          <rPr>
            <b/>
            <sz val="9"/>
            <color indexed="81"/>
            <rFont val="MS P ゴシック"/>
            <family val="3"/>
            <charset val="128"/>
          </rPr>
          <t>メモ</t>
        </r>
      </text>
    </comment>
  </commentList>
</comments>
</file>

<file path=xl/sharedStrings.xml><?xml version="1.0" encoding="utf-8"?>
<sst xmlns="http://schemas.openxmlformats.org/spreadsheetml/2006/main" count="61" uniqueCount="55">
  <si>
    <t>受注番号</t>
  </si>
  <si>
    <t>顧客</t>
  </si>
  <si>
    <t>数量</t>
  </si>
  <si>
    <t>金額</t>
  </si>
  <si>
    <t>ORD-001</t>
  </si>
  <si>
    <t>架空商事</t>
  </si>
  <si>
    <t>ORD-002</t>
  </si>
  <si>
    <t>見本工業</t>
  </si>
  <si>
    <t>ORD-003</t>
  </si>
  <si>
    <t>試験物産</t>
  </si>
  <si>
    <t>ORD-004</t>
  </si>
  <si>
    <t>ORD-005</t>
  </si>
  <si>
    <t>税率</t>
  </si>
  <si>
    <t>受注明細（テーブル）</t>
  </si>
  <si>
    <t>明細ID</t>
  </si>
  <si>
    <t>商品</t>
  </si>
  <si>
    <t>単価</t>
  </si>
  <si>
    <t>L-01</t>
  </si>
  <si>
    <t>ボルト</t>
  </si>
  <si>
    <t>L-02</t>
  </si>
  <si>
    <t>ナット</t>
  </si>
  <si>
    <t>L-03</t>
  </si>
  <si>
    <t>ワッシャー</t>
  </si>
  <si>
    <t>L-04</t>
  </si>
  <si>
    <t>金額</t>
    <phoneticPr fontId="1"/>
  </si>
  <si>
    <t>集計</t>
  </si>
  <si>
    <t>連番</t>
  </si>
  <si>
    <t>顧客（重複なし）</t>
  </si>
  <si>
    <t>大口</t>
  </si>
  <si>
    <t>LET</t>
  </si>
  <si>
    <t>LAMBDA</t>
  </si>
  <si>
    <t>項目</t>
  </si>
  <si>
    <t>値</t>
  </si>
  <si>
    <t>チェックボックス</t>
  </si>
  <si>
    <t>セル内画像</t>
  </si>
  <si>
    <t>日付</t>
  </si>
  <si>
    <t>通貨</t>
  </si>
  <si>
    <t>割合</t>
  </si>
  <si>
    <t>改行を含む文字</t>
  </si>
  <si>
    <t>ハイパーリンク</t>
  </si>
  <si>
    <t>エラー値</t>
  </si>
  <si>
    <t>真偽値</t>
  </si>
  <si>
    <t>非表示の行</t>
  </si>
  <si>
    <t>一行目
二行目</t>
  </si>
  <si>
    <t>仕様書</t>
  </si>
  <si>
    <t>見えない値</t>
  </si>
  <si>
    <t>承認</t>
  </si>
  <si>
    <t>隠し列</t>
  </si>
  <si>
    <t>ID</t>
  </si>
  <si>
    <t>状態</t>
  </si>
  <si>
    <t>完了</t>
  </si>
  <si>
    <t>保留</t>
  </si>
  <si>
    <t>明細A</t>
  </si>
  <si>
    <t>明細B</t>
  </si>
  <si>
    <t>隠し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</si>
</sst>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yyyy/mm/dd"/>
    <numFmt numFmtId="180" formatCode="&quot;¥&quot;#,##0"/>
    <numFmt numFmtId="181" formatCode="0.0%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A94EE-A9B0-4440-B560-F2F7CD3D55C6}" name="T_受注明細" displayName="T_受注明細" ref="B4:F9" totalsRowCount="1">
  <autoFilter ref="B4:F8" xr:uid="{1A5A94EE-A9B0-4440-B560-F2F7CD3D55C6}"/>
  <tableColumns count="5">
    <tableColumn id="1" xr3:uid="{346CC888-1078-418C-9BC5-1FF974206CFE}" name="明細ID" totalsRowLabel="集計"/>
    <tableColumn id="2" xr3:uid="{BEF24551-CE08-4AA3-8980-9CD6446125D8}" name="商品"/>
    <tableColumn id="3" xr3:uid="{4E133E72-CB81-4DD4-A8E5-A1823D9D7F2C}" name="数量"/>
    <tableColumn id="4" xr3:uid="{0D32FC20-C270-44F9-BE13-D2C21326F831}" name="単価"/>
    <tableColumn id="5" xr3:uid="{B7F0C3FF-B130-426A-9252-727FC85F2E4E}" name="金額" totalsRowFunction="sum">
      <calculatedColumnFormula>T_受注明細[[#This Row],[数量]]*T_受注明細[[#This Row],[単価]]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invalid/sp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0621-913B-4926-8CF0-861CE5707030}">
  <dimension ref="A1:F6"/>
  <sheetViews>
    <sheetView workbookViewId="0"/>
  </sheetViews>
  <sheetFormatPr defaultRowHeight="18"/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12</v>
      </c>
    </row>
    <row r="2" spans="1:6">
      <c r="A2" t="s">
        <v>4</v>
      </c>
      <c r="B2" t="s">
        <v>5</v>
      </c>
      <c r="C2">
        <v>3</v>
      </c>
      <c r="D2">
        <v>3000</v>
      </c>
      <c r="F2">
        <v>0.1</v>
      </c>
    </row>
    <row r="3" spans="1:6">
      <c r="A3" t="s">
        <v>6</v>
      </c>
      <c r="B3" t="s">
        <v>7</v>
      </c>
      <c r="C3">
        <v>5</v>
      </c>
      <c r="D3">
        <v>7500</v>
      </c>
    </row>
    <row r="4" spans="1:6">
      <c r="A4" t="s">
        <v>8</v>
      </c>
      <c r="B4" t="s">
        <v>9</v>
      </c>
      <c r="C4">
        <v>1</v>
      </c>
      <c r="D4">
        <v>1200</v>
      </c>
    </row>
    <row r="5" spans="1:6">
      <c r="A5" t="s">
        <v>10</v>
      </c>
      <c r="B5" t="s">
        <v>5</v>
      </c>
      <c r="C5">
        <v>2</v>
      </c>
      <c r="D5">
        <v>2400</v>
      </c>
    </row>
    <row r="6" spans="1:6">
      <c r="A6" t="s">
        <v>11</v>
      </c>
      <c r="B6" t="s">
        <v>7</v>
      </c>
      <c r="C6">
        <v>4</v>
      </c>
      <c r="D6">
        <v>5600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4306-3EBB-446D-B7B6-61BA52FD6959}">
  <dimension ref="B2:H9"/>
  <sheetViews>
    <sheetView workbookViewId="0"/>
  </sheetViews>
  <sheetFormatPr defaultRowHeight="18"/>
  <sheetData>
    <row r="2" spans="2:8">
      <c r="B2" t="s">
        <v>13</v>
      </c>
    </row>
    <row r="4" spans="2:8">
      <c r="B4" t="s">
        <v>14</v>
      </c>
      <c r="C4" t="s">
        <v>15</v>
      </c>
      <c r="D4" t="s">
        <v>2</v>
      </c>
      <c r="E4" t="s">
        <v>16</v>
      </c>
      <c r="F4" t="s">
        <v>24</v>
      </c>
      <c r="H4">
        <f>SUM(T_受注明細[金額])</f>
        <v>1500</v>
      </c>
    </row>
    <row r="5" spans="2:8">
      <c r="B5" t="s">
        <v>17</v>
      </c>
      <c r="C5" t="s">
        <v>18</v>
      </c>
      <c r="D5">
        <v>10</v>
      </c>
      <c r="E5">
        <v>50</v>
      </c>
      <c r="F5">
        <f>T_受注明細[[#This Row],[数量]]*T_受注明細[[#This Row],[単価]]</f>
        <v>500</v>
      </c>
    </row>
    <row r="6" spans="2:8">
      <c r="B6" t="s">
        <v>19</v>
      </c>
      <c r="C6" t="s">
        <v>20</v>
      </c>
      <c r="D6">
        <v>20</v>
      </c>
      <c r="E6">
        <v>30</v>
      </c>
      <c r="F6">
        <f>T_受注明細[[#This Row],[数量]]*T_受注明細[[#This Row],[単価]]</f>
        <v>600</v>
      </c>
    </row>
    <row r="7" spans="2:8">
      <c r="B7" t="s">
        <v>21</v>
      </c>
      <c r="C7" t="s">
        <v>22</v>
      </c>
      <c r="D7">
        <v>15</v>
      </c>
      <c r="E7">
        <v>10</v>
      </c>
      <c r="F7">
        <f>T_受注明細[[#This Row],[数量]]*T_受注明細[[#This Row],[単価]]</f>
        <v>150</v>
      </c>
    </row>
    <row r="8" spans="2:8">
      <c r="B8" t="s">
        <v>23</v>
      </c>
      <c r="C8" t="s">
        <v>18</v>
      </c>
      <c r="D8">
        <v>5</v>
      </c>
      <c r="E8">
        <v>50</v>
      </c>
      <c r="F8">
        <f>T_受注明細[[#This Row],[数量]]*T_受注明細[[#This Row],[単価]]</f>
        <v>250</v>
      </c>
    </row>
    <row r="9" spans="2:8">
      <c r="B9" t="s">
        <v>25</v>
      </c>
      <c r="F9">
        <f>SUBTOTAL(109,T_受注明細[金額])</f>
        <v>1500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68E4-BF47-4CDC-8753-C3EA6A28ECF6}">
  <dimension ref="A1:F1"/>
  <sheetViews>
    <sheetView workbookViewId="0"/>
  </sheetViews>
  <sheetFormatPr defaultRowHeight="18"/>
  <sheetData>
    <row r="1" spans="1:6">
      <c r="A1" t="s">
        <v>26</v>
      </c>
      <c r="B1" t="s">
        <v>27</v>
      </c>
      <c r="C1" t="s">
        <v>28</v>
      </c>
      <c r="E1" t="s">
        <v>29</v>
      </c>
      <c r="F1" t="s">
        <v>30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C4FE-82A2-48C0-A3B5-23A1ED4A03F1}">
  <dimension ref="A1:D11"/>
  <sheetViews>
    <sheetView workbookViewId="0"/>
  </sheetViews>
  <sheetFormatPr defaultRowHeight="18"/>
  <cols>
    <col min="2" max="2" width="11.296875" bestFit="1" customWidth="1"/>
    <col min="4" max="4" width="0" hidden="1" customWidth="1"/>
  </cols>
  <sheetData>
    <row r="1" spans="1:4">
      <c r="A1" t="s">
        <v>31</v>
      </c>
      <c r="B1" t="s">
        <v>32</v>
      </c>
      <c r="D1" t="s">
        <v>47</v>
      </c>
    </row>
    <row r="2" spans="1:4">
      <c r="A2" t="s">
        <v>33</v>
      </c>
      <c r="B2" t="b">
        <v>1</v>
      </c>
      <c r="C2" t="s">
        <v>46</v>
      </c>
    </row>
    <row r="3" spans="1:4">
      <c r="A3" t="s">
        <v>34</v>
      </c>
    </row>
    <row r="4" spans="1:4">
      <c r="A4" t="s">
        <v>35</v>
      </c>
      <c r="B4" s="1">
        <f>DATE(2026,9,27)</f>
        <v>46292</v>
      </c>
    </row>
    <row r="5" spans="1:4">
      <c r="A5" t="s">
        <v>36</v>
      </c>
      <c r="B5" s="2">
        <v>1234567</v>
      </c>
    </row>
    <row r="6" spans="1:4">
      <c r="A6" t="s">
        <v>37</v>
      </c>
      <c r="B6" s="3">
        <v>0.125</v>
      </c>
    </row>
    <row r="7" spans="1:4" ht="36">
      <c r="A7" t="s">
        <v>38</v>
      </c>
      <c r="B7" s="4" t="s">
        <v>43</v>
      </c>
    </row>
    <row r="8" spans="1:4">
      <c r="A8" t="s">
        <v>39</v>
      </c>
      <c r="B8" s="5" t="s">
        <v>44</v>
      </c>
    </row>
    <row r="9" spans="1:4">
      <c r="A9" t="s">
        <v>40</v>
      </c>
      <c r="B9" t="e">
        <f>NA()</f>
        <v>#N/A</v>
      </c>
    </row>
    <row r="10" spans="1:4">
      <c r="A10" t="s">
        <v>41</v>
      </c>
      <c r="B10" t="b">
        <v>0</v>
      </c>
    </row>
    <row r="11" spans="1:4" hidden="1">
      <c r="A11" t="s">
        <v>42</v>
      </c>
      <c r="B11" t="s">
        <v>45</v>
      </c>
    </row>
  </sheetData>
  <phoneticPr fontId="1"/>
  <conditionalFormatting sqref="B5:B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{3A3B535D-6806-4730-8AE0-624B6ED8B83C}</x14:id>
        </ext>
      </extLst>
    </cfRule>
  </conditionalFormatting>
  <dataValidations count="1">
    <dataValidation type="list" allowBlank="1" showInputMessage="1" showErrorMessage="1" sqref="C2" xr:uid="{73015D39-80E6-4D36-A29A-8957903C9076}">
      <formula1>"承認,差戻し,保留"</formula1>
    </dataValidation>
  </dataValidations>
  <hyperlinks>
    <hyperlink ref="B8" r:id="rId1" display="https://example.invalid/spec" xr:uid="{D9CBCB32-C749-4E64-A575-B65A568B664B}"/>
  </hyperlinks>
  <pageMargins left="0.7" right="0.7" top="0.75" bottom="0.75" header="0.3" footer="0.3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3B535D-6806-4730-8AE0-624B6ED8B83C}">
            <x14:dataBar minLength="0" maxLength="100" negativeBarColorSameAsPositive="1" axisPosition="none">
              <x14:cfvo type="min"/>
              <x14:cfvo type="max"/>
            </x14:dataBar>
          </x14:cfRule>
          <xm:sqref>B5:B6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4683-A71D-44C2-A061-81A0D79BCBE8}">
  <sheetPr filterMode="1"/>
  <dimension ref="A1:B10"/>
  <sheetViews>
    <sheetView tabSelected="1" workbookViewId="0"/>
  </sheetViews>
  <sheetFormatPr defaultRowHeight="18" outlineLevelRow="1"/>
  <sheetData>
    <row r="1" spans="1:2">
      <c r="A1" t="s">
        <v>48</v>
      </c>
      <c r="B1" t="s">
        <v>49</v>
      </c>
    </row>
    <row r="2" spans="1:2">
      <c r="A2">
        <v>1</v>
      </c>
      <c r="B2" t="s">
        <v>50</v>
      </c>
    </row>
    <row r="3" spans="1:2" hidden="1">
      <c r="A3">
        <v>2</v>
      </c>
      <c r="B3" t="s">
        <v>51</v>
      </c>
    </row>
    <row r="4" spans="1:2">
      <c r="A4">
        <v>3</v>
      </c>
      <c r="B4" t="s">
        <v>50</v>
      </c>
    </row>
    <row r="5" spans="1:2" hidden="1">
      <c r="A5">
        <v>4</v>
      </c>
      <c r="B5" t="s">
        <v>51</v>
      </c>
    </row>
    <row r="8" spans="1:2" hidden="1" outlineLevel="1">
      <c r="A8" t="s">
        <v>52</v>
      </c>
    </row>
    <row r="9" spans="1:2" hidden="1" outlineLevel="1">
      <c r="A9" t="s">
        <v>53</v>
      </c>
    </row>
    <row r="10" spans="1:2" collapsed="1"/>
  </sheetData>
  <autoFilter ref="A1:B5" xr:uid="{6A504683-A71D-44C2-A061-81A0D79BCBE8}">
    <filterColumn colId="1">
      <filters>
        <filter val="完了"/>
      </filters>
    </filterColumn>
  </autoFilter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6D91-2A19-4526-A51E-58C9A8AEECCA}">
  <dimension ref="A1"/>
  <sheetViews>
    <sheetView workbookViewId="0"/>
  </sheetViews>
  <sheetFormatPr defaultRowHeight="18"/>
  <sheetData>
    <row r="1" spans="1:1">
      <c r="A1" t="s">
        <v>54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名前</vt:lpstr>
      <vt:lpstr>テーブル</vt:lpstr>
      <vt:lpstr>スピル</vt:lpstr>
      <vt:lpstr>モダン</vt:lpstr>
      <vt:lpstr>フィルター</vt:lpstr>
      <vt:lpstr>名前!ローカル範囲</vt:lpstr>
      <vt:lpstr>金額列</vt:lpstr>
      <vt:lpstr>見出し行</vt:lpstr>
      <vt:lpstr>受注一覧</vt:lpstr>
      <vt:lpstr>税率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hat47x y</dc:creator>
  <cp:lastModifiedBy>hat47x y</cp:lastModifiedBy>
  <dcterms:created xsi:type="dcterms:W3CDTF">2026-09-27T09:48:06Z</dcterms:created>
  <dcterms:modified xsi:type="dcterms:W3CDTF">2026-09-27T09:48:10Z</dcterms:modified>
</cp:coreProperties>
</file>